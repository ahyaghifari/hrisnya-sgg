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hris\knowledge\"/>
    </mc:Choice>
  </mc:AlternateContent>
  <xr:revisionPtr revIDLastSave="0" documentId="8_{0BEBF410-61C1-4092-9856-DF0DAD9A1FE9}" xr6:coauthVersionLast="47" xr6:coauthVersionMax="47" xr10:uidLastSave="{00000000-0000-0000-0000-000000000000}"/>
  <bookViews>
    <workbookView xWindow="-110" yWindow="-110" windowWidth="19420" windowHeight="10300" xr2:uid="{0166EC40-4D18-416A-8395-6C0FCEFEC567}"/>
  </bookViews>
  <sheets>
    <sheet name="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E16" i="2"/>
  <c r="H20" i="2"/>
  <c r="J20" i="2"/>
  <c r="H21" i="2"/>
  <c r="J21" i="2"/>
</calcChain>
</file>

<file path=xl/sharedStrings.xml><?xml version="1.0" encoding="utf-8"?>
<sst xmlns="http://schemas.openxmlformats.org/spreadsheetml/2006/main" count="50" uniqueCount="45">
  <si>
    <t>Kantor</t>
  </si>
  <si>
    <t>-</t>
  </si>
  <si>
    <t>Lead Auditor Training</t>
  </si>
  <si>
    <t>Muhammad Sandy Alfianoor, S.Kom.</t>
  </si>
  <si>
    <t>Fadhlan Furqani</t>
  </si>
  <si>
    <t>Luar</t>
  </si>
  <si>
    <t>Tanggal Selesai Ikatan DInas</t>
  </si>
  <si>
    <t xml:space="preserve">Tanggal Pelatihan </t>
  </si>
  <si>
    <t>Lama Ikatan Dinas (Tahun)</t>
  </si>
  <si>
    <t>Lama Pelatihan (Minggu)</t>
  </si>
  <si>
    <t xml:space="preserve">Lokasi Pelatihan </t>
  </si>
  <si>
    <t>Biaya Tambahan (Akomodasi &amp; Transportasi)</t>
  </si>
  <si>
    <t>Biaya Pelatihan</t>
  </si>
  <si>
    <t xml:space="preserve">Nama Pelatihan </t>
  </si>
  <si>
    <t>Nama Karyawan</t>
  </si>
  <si>
    <t>No</t>
  </si>
  <si>
    <t xml:space="preserve">Plafon honor </t>
  </si>
  <si>
    <t>Total Skor</t>
  </si>
  <si>
    <t>BNSP</t>
  </si>
  <si>
    <t>Non BNSP</t>
  </si>
  <si>
    <t>4. Jenis sertifikat</t>
  </si>
  <si>
    <t>&gt; 20.000.000</t>
  </si>
  <si>
    <t>10.000.000-20.000.000</t>
  </si>
  <si>
    <t>3.000.000-10.000.000</t>
  </si>
  <si>
    <t>&lt; 3.000.000</t>
  </si>
  <si>
    <t>3. Total biaya</t>
  </si>
  <si>
    <t>5 Tahun</t>
  </si>
  <si>
    <t>&lt;1 Bulan</t>
  </si>
  <si>
    <t>4 Tahun</t>
  </si>
  <si>
    <t>1 Minggu - 1 Bulan</t>
  </si>
  <si>
    <t>3 Tahun</t>
  </si>
  <si>
    <t>1 Minggu</t>
  </si>
  <si>
    <t>2 Tahun</t>
  </si>
  <si>
    <t>Tidak meninggalkan waktu kerja</t>
  </si>
  <si>
    <t>2. Meninggalkan waktu kerja</t>
  </si>
  <si>
    <t>1 Tahun</t>
  </si>
  <si>
    <t>Offline</t>
  </si>
  <si>
    <t>6 Bulan</t>
  </si>
  <si>
    <t>Online</t>
  </si>
  <si>
    <t>1. Lama pelaksanaan</t>
  </si>
  <si>
    <t>Honorarium</t>
  </si>
  <si>
    <t>Skor</t>
  </si>
  <si>
    <t>Acuan Skor</t>
  </si>
  <si>
    <t>Kategori</t>
  </si>
  <si>
    <t>Variabel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</si>
</sst>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Rp&quot;#,##0"/>
    <numFmt numFmtId="165" formatCode="[$Rp-421]#,##0"/>
    <numFmt numFmtId="166" formatCode="d\-m"/>
  </numFmts>
  <fonts count="6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b/>
      <sz val="11"/>
      <color theme="1"/>
      <name val="Aptos Narrow"/>
      <scheme val="minor"/>
    </font>
    <font>
      <sz val="10"/>
      <name val="Arial"/>
    </font>
    <font>
      <b/>
      <sz val="10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1" fillId="0" borderId="0" xfId="1"/>
    <xf numFmtId="14" fontId="2" fillId="0" borderId="0" xfId="1" applyNumberFormat="1" applyFont="1" applyAlignment="1">
      <alignment vertical="center"/>
    </xf>
    <xf numFmtId="0" fontId="2" fillId="0" borderId="0" xfId="1" applyFont="1" applyAlignment="1">
      <alignment vertical="center"/>
    </xf>
    <xf numFmtId="164" fontId="2" fillId="0" borderId="0" xfId="1" applyNumberFormat="1" applyFont="1" applyAlignment="1">
      <alignment vertical="center"/>
    </xf>
    <xf numFmtId="0" fontId="2" fillId="2" borderId="0" xfId="1" applyFont="1" applyFill="1"/>
    <xf numFmtId="0" fontId="2" fillId="2" borderId="0" xfId="1" applyFont="1" applyFill="1" applyAlignment="1">
      <alignment vertical="center"/>
    </xf>
    <xf numFmtId="14" fontId="2" fillId="2" borderId="0" xfId="1" applyNumberFormat="1" applyFont="1" applyFill="1" applyAlignment="1">
      <alignment vertical="center"/>
    </xf>
    <xf numFmtId="165" fontId="2" fillId="2" borderId="0" xfId="1" applyNumberFormat="1" applyFont="1" applyFill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left" vertical="center" wrapText="1"/>
    </xf>
    <xf numFmtId="0" fontId="3" fillId="0" borderId="0" xfId="1" applyFont="1"/>
    <xf numFmtId="0" fontId="2" fillId="0" borderId="0" xfId="1" applyFont="1" applyAlignment="1">
      <alignment wrapText="1"/>
    </xf>
    <xf numFmtId="0" fontId="2" fillId="3" borderId="1" xfId="1" applyFont="1" applyFill="1" applyBorder="1"/>
    <xf numFmtId="0" fontId="4" fillId="0" borderId="2" xfId="1" applyFont="1" applyBorder="1"/>
    <xf numFmtId="0" fontId="2" fillId="0" borderId="2" xfId="1" applyFont="1" applyBorder="1"/>
    <xf numFmtId="0" fontId="2" fillId="0" borderId="2" xfId="1" applyFont="1" applyBorder="1" applyAlignment="1">
      <alignment wrapText="1"/>
    </xf>
    <xf numFmtId="0" fontId="2" fillId="4" borderId="0" xfId="1" applyFont="1" applyFill="1" applyAlignment="1">
      <alignment horizontal="center" vertical="center"/>
    </xf>
    <xf numFmtId="0" fontId="2" fillId="0" borderId="0" xfId="1" applyFont="1"/>
    <xf numFmtId="3" fontId="2" fillId="0" borderId="2" xfId="1" applyNumberFormat="1" applyFont="1" applyBorder="1" applyAlignment="1">
      <alignment wrapText="1"/>
    </xf>
    <xf numFmtId="0" fontId="1" fillId="0" borderId="0" xfId="1"/>
    <xf numFmtId="0" fontId="2" fillId="4" borderId="3" xfId="1" applyFont="1" applyFill="1" applyBorder="1" applyAlignment="1">
      <alignment horizontal="center" vertical="center"/>
    </xf>
    <xf numFmtId="0" fontId="2" fillId="0" borderId="3" xfId="1" applyFont="1" applyBorder="1"/>
    <xf numFmtId="0" fontId="2" fillId="0" borderId="3" xfId="1" applyFont="1" applyBorder="1" applyAlignment="1">
      <alignment wrapText="1"/>
    </xf>
    <xf numFmtId="164" fontId="2" fillId="0" borderId="0" xfId="1" applyNumberFormat="1" applyFont="1"/>
    <xf numFmtId="0" fontId="2" fillId="0" borderId="0" xfId="1" applyFont="1" applyAlignment="1">
      <alignment horizontal="left"/>
    </xf>
    <xf numFmtId="166" fontId="2" fillId="0" borderId="0" xfId="1" applyNumberFormat="1" applyFont="1" applyAlignment="1">
      <alignment horizontal="left"/>
    </xf>
    <xf numFmtId="0" fontId="5" fillId="5" borderId="4" xfId="1" applyFont="1" applyFill="1" applyBorder="1" applyAlignment="1">
      <alignment horizontal="center"/>
    </xf>
    <xf numFmtId="0" fontId="5" fillId="5" borderId="4" xfId="1" applyFont="1" applyFill="1" applyBorder="1" applyAlignment="1">
      <alignment horizontal="left"/>
    </xf>
    <xf numFmtId="0" fontId="5" fillId="5" borderId="4" xfId="1" applyFont="1" applyFill="1" applyBorder="1" applyAlignment="1">
      <alignment horizontal="center" wrapText="1"/>
    </xf>
  </cellXfs>
  <cellStyles count="2">
    <cellStyle name="Normal" xfId="0" builtinId="0"/>
    <cellStyle name="Normal 2" xfId="1" xr:uid="{8260A429-C6CF-4718-A68A-D32147944443}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Platfon pelatihan-style" pivot="0" count="4" xr9:uid="{E2F1C87A-34C2-44ED-AEC7-4504DC441116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70EBCF-345E-4D66-B435-BE8211DBD424}" name="Table14" displayName="Table14" ref="A19:J23">
  <tableColumns count="10">
    <tableColumn id="1" xr3:uid="{39B09879-9385-4786-B846-767148B6ED37}" name="No"/>
    <tableColumn id="2" xr3:uid="{31EAA96A-BA00-444A-99F2-6E9E2A932756}" name="Nama Karyawan"/>
    <tableColumn id="3" xr3:uid="{20440E5D-7F9C-407B-95DF-38090C6B077E}" name="Nama Pelatihan "/>
    <tableColumn id="4" xr3:uid="{767BBD5B-1E44-4A39-9321-8E31A6DE52EE}" name="Biaya Pelatihan"/>
    <tableColumn id="5" xr3:uid="{B294D655-8A34-4EEF-81F0-990CED2EDE67}" name="Biaya Tambahan (Akomodasi &amp; Transportasi)"/>
    <tableColumn id="6" xr3:uid="{CD350000-D7EE-4653-A0DF-EFD262F8B327}" name="Lokasi Pelatihan "/>
    <tableColumn id="7" xr3:uid="{562ED750-13FF-4F10-B930-34A4912CD5BE}" name="Lama Pelatihan (Minggu)"/>
    <tableColumn id="8" xr3:uid="{F3F6B255-45E5-4CD4-BDBE-CE85277D6605}" name="Lama Ikatan Dinas (Tahun)"/>
    <tableColumn id="9" xr3:uid="{D1C941BD-2E92-45A1-964C-FC51DB65D545}" name="Tanggal Pelatihan "/>
    <tableColumn id="10" xr3:uid="{9D8E2333-AE86-4907-9B85-83A4D1112074}" name="Tanggal Selesai Ikatan DInas"/>
  </tableColumns>
  <tableStyleInfo name="Platfon pelatihan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9A4E0-5A0D-41F7-84F1-120615921AB8}">
  <sheetPr>
    <outlinePr summaryBelow="0" summaryRight="0"/>
  </sheetPr>
  <dimension ref="A2:Z23"/>
  <sheetViews>
    <sheetView tabSelected="1" workbookViewId="0">
      <selection activeCell="E13" sqref="E13:E14"/>
    </sheetView>
  </sheetViews>
  <sheetFormatPr defaultColWidth="12.6328125" defaultRowHeight="15.75" customHeight="1" x14ac:dyDescent="0.3"/>
  <cols>
    <col min="1" max="1" width="5.08984375" style="1" customWidth="1"/>
    <col min="2" max="2" width="29.26953125" style="1" customWidth="1"/>
    <col min="3" max="3" width="19.453125" style="1" customWidth="1"/>
    <col min="4" max="4" width="19" style="1" customWidth="1"/>
    <col min="5" max="5" width="17.7265625" style="1" customWidth="1"/>
    <col min="6" max="6" width="18.08984375" style="1" customWidth="1"/>
    <col min="7" max="7" width="12.6328125" style="1"/>
    <col min="8" max="8" width="25.36328125" style="1" customWidth="1"/>
    <col min="9" max="9" width="19.08984375" style="1" customWidth="1"/>
    <col min="10" max="10" width="26.7265625" style="1" customWidth="1"/>
    <col min="11" max="16384" width="12.6328125" style="1"/>
  </cols>
  <sheetData>
    <row r="2" spans="2:8" ht="13" x14ac:dyDescent="0.3">
      <c r="B2" s="27" t="s">
        <v>44</v>
      </c>
      <c r="C2" s="29" t="s">
        <v>43</v>
      </c>
      <c r="D2" s="27" t="s">
        <v>42</v>
      </c>
      <c r="E2" s="27" t="s">
        <v>41</v>
      </c>
      <c r="G2" s="28" t="s">
        <v>17</v>
      </c>
      <c r="H2" s="27" t="s">
        <v>40</v>
      </c>
    </row>
    <row r="3" spans="2:8" ht="13" x14ac:dyDescent="0.3">
      <c r="B3" s="18" t="s">
        <v>39</v>
      </c>
      <c r="C3" s="12" t="s">
        <v>38</v>
      </c>
      <c r="D3" s="18">
        <v>1</v>
      </c>
      <c r="E3" s="17">
        <v>1</v>
      </c>
      <c r="G3" s="25">
        <v>3</v>
      </c>
      <c r="H3" s="18" t="s">
        <v>37</v>
      </c>
    </row>
    <row r="4" spans="2:8" ht="13.5" thickBot="1" x14ac:dyDescent="0.35">
      <c r="C4" s="12" t="s">
        <v>36</v>
      </c>
      <c r="D4" s="18">
        <v>2</v>
      </c>
      <c r="E4" s="14"/>
      <c r="G4" s="25">
        <v>4</v>
      </c>
      <c r="H4" s="24" t="s">
        <v>35</v>
      </c>
    </row>
    <row r="5" spans="2:8" ht="26.5" thickTop="1" x14ac:dyDescent="0.3">
      <c r="B5" s="22" t="s">
        <v>34</v>
      </c>
      <c r="C5" s="23" t="s">
        <v>33</v>
      </c>
      <c r="D5" s="22">
        <v>0</v>
      </c>
      <c r="E5" s="17">
        <v>0</v>
      </c>
      <c r="G5" s="26">
        <v>45813</v>
      </c>
      <c r="H5" s="24" t="s">
        <v>32</v>
      </c>
    </row>
    <row r="6" spans="2:8" ht="13" x14ac:dyDescent="0.3">
      <c r="C6" s="18" t="s">
        <v>31</v>
      </c>
      <c r="D6" s="18">
        <v>1</v>
      </c>
      <c r="E6" s="20"/>
      <c r="G6" s="26">
        <v>45876</v>
      </c>
      <c r="H6" s="24" t="s">
        <v>30</v>
      </c>
    </row>
    <row r="7" spans="2:8" ht="13" x14ac:dyDescent="0.3">
      <c r="C7" s="18" t="s">
        <v>29</v>
      </c>
      <c r="D7" s="18">
        <v>2</v>
      </c>
      <c r="E7" s="20"/>
      <c r="G7" s="26">
        <v>45939</v>
      </c>
      <c r="H7" s="24" t="s">
        <v>28</v>
      </c>
    </row>
    <row r="8" spans="2:8" ht="13.5" thickBot="1" x14ac:dyDescent="0.35">
      <c r="C8" s="12" t="s">
        <v>27</v>
      </c>
      <c r="D8" s="18">
        <v>3</v>
      </c>
      <c r="E8" s="14"/>
      <c r="G8" s="25">
        <v>11</v>
      </c>
      <c r="H8" s="24" t="s">
        <v>26</v>
      </c>
    </row>
    <row r="9" spans="2:8" ht="13.5" thickTop="1" x14ac:dyDescent="0.3">
      <c r="B9" s="22" t="s">
        <v>25</v>
      </c>
      <c r="C9" s="23" t="s">
        <v>24</v>
      </c>
      <c r="D9" s="22">
        <v>1</v>
      </c>
      <c r="E9" s="21">
        <v>2</v>
      </c>
    </row>
    <row r="10" spans="2:8" ht="13" x14ac:dyDescent="0.3">
      <c r="C10" s="12" t="s">
        <v>23</v>
      </c>
      <c r="D10" s="18">
        <v>2</v>
      </c>
      <c r="E10" s="20"/>
    </row>
    <row r="11" spans="2:8" ht="13" x14ac:dyDescent="0.3">
      <c r="C11" s="12" t="s">
        <v>22</v>
      </c>
      <c r="D11" s="18">
        <v>3</v>
      </c>
      <c r="E11" s="20"/>
    </row>
    <row r="12" spans="2:8" ht="13.5" thickBot="1" x14ac:dyDescent="0.35">
      <c r="B12" s="15"/>
      <c r="C12" s="19" t="s">
        <v>21</v>
      </c>
      <c r="D12" s="15">
        <v>4</v>
      </c>
      <c r="E12" s="14"/>
    </row>
    <row r="13" spans="2:8" ht="13.5" thickTop="1" x14ac:dyDescent="0.3">
      <c r="B13" s="18" t="s">
        <v>20</v>
      </c>
      <c r="C13" s="12" t="s">
        <v>19</v>
      </c>
      <c r="D13" s="18">
        <v>1</v>
      </c>
      <c r="E13" s="17">
        <v>1</v>
      </c>
    </row>
    <row r="14" spans="2:8" ht="13.5" thickBot="1" x14ac:dyDescent="0.35">
      <c r="B14" s="15"/>
      <c r="C14" s="16" t="s">
        <v>18</v>
      </c>
      <c r="D14" s="15">
        <v>2</v>
      </c>
      <c r="E14" s="14"/>
    </row>
    <row r="15" spans="2:8" ht="13.5" thickTop="1" x14ac:dyDescent="0.3">
      <c r="C15" s="12"/>
      <c r="D15" s="13" t="s">
        <v>17</v>
      </c>
      <c r="E15" s="13">
        <f>SUM(E3:E14)</f>
        <v>4</v>
      </c>
    </row>
    <row r="16" spans="2:8" ht="14.5" x14ac:dyDescent="0.35">
      <c r="C16" s="12"/>
      <c r="D16" s="11" t="s">
        <v>16</v>
      </c>
      <c r="E16" s="11" t="e">
        <f ca="1">_xludf.IFS(
  E15=4, "1 Tahun",
  AND(E15=5, E15 &lt;=6), "Rp 2 Tahun",
  AND(E15&gt;=7, E15&lt;=8), "Rp 3 Tahun",
  AND(E15&gt;=9, E15&lt;=10), "Rp 4 Tahun",
  AND(E15=11), "Rp 5 Tahun",
  AND(E15=12), "Rp 6 Tahun"
)</f>
        <v>#NAME?</v>
      </c>
    </row>
    <row r="19" spans="1:26" ht="22.5" customHeight="1" x14ac:dyDescent="0.3">
      <c r="A19" s="9" t="s">
        <v>15</v>
      </c>
      <c r="B19" s="9" t="s">
        <v>14</v>
      </c>
      <c r="C19" s="9" t="s">
        <v>13</v>
      </c>
      <c r="D19" s="9" t="s">
        <v>12</v>
      </c>
      <c r="E19" s="10" t="s">
        <v>11</v>
      </c>
      <c r="F19" s="9" t="s">
        <v>10</v>
      </c>
      <c r="G19" s="10" t="s">
        <v>9</v>
      </c>
      <c r="H19" s="9" t="s">
        <v>8</v>
      </c>
      <c r="I19" s="9" t="s">
        <v>7</v>
      </c>
      <c r="J19" s="9" t="s">
        <v>6</v>
      </c>
    </row>
    <row r="20" spans="1:26" ht="22.5" customHeight="1" x14ac:dyDescent="0.3">
      <c r="A20" s="6"/>
      <c r="B20" s="6" t="s">
        <v>4</v>
      </c>
      <c r="C20" s="6"/>
      <c r="D20" s="8">
        <v>1000000</v>
      </c>
      <c r="E20" s="8">
        <v>19000000</v>
      </c>
      <c r="F20" s="6" t="s">
        <v>5</v>
      </c>
      <c r="G20" s="6">
        <v>1</v>
      </c>
      <c r="H20" s="6">
        <f>IF(F20="Kantor",
    CEILING((D20+E20)/10000000,1),
    CEILING((D20+E20)/10000000,1)*(1+0.1*G20)
)</f>
        <v>2.2000000000000002</v>
      </c>
      <c r="I20" s="7">
        <v>45805</v>
      </c>
      <c r="J20" s="7">
        <f>I20+(H20*365)</f>
        <v>46608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2.5" customHeight="1" x14ac:dyDescent="0.3">
      <c r="A21" s="6"/>
      <c r="B21" s="6" t="s">
        <v>4</v>
      </c>
      <c r="C21" s="6"/>
      <c r="D21" s="8">
        <v>1000000</v>
      </c>
      <c r="E21" s="8">
        <v>5000000</v>
      </c>
      <c r="F21" s="6" t="s">
        <v>0</v>
      </c>
      <c r="G21" s="6">
        <v>1</v>
      </c>
      <c r="H21" s="6">
        <f>IF(F21="Kantor",
    CEILING((D21+E21)/10000000,1),
    CEILING((D21+E21)/10000000,1)*(1+0.1*G21)
)</f>
        <v>1</v>
      </c>
      <c r="I21" s="7">
        <v>46608</v>
      </c>
      <c r="J21" s="7">
        <f>I21+(H21*365)</f>
        <v>46973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2.5" customHeight="1" x14ac:dyDescent="0.3">
      <c r="A22" s="6"/>
      <c r="B22" s="6" t="s">
        <v>4</v>
      </c>
      <c r="C22" s="6"/>
      <c r="D22" s="6"/>
      <c r="E22" s="6"/>
      <c r="F22" s="6" t="s">
        <v>0</v>
      </c>
      <c r="G22" s="6"/>
      <c r="H22" s="6"/>
      <c r="I22" s="6"/>
      <c r="J22" s="6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2.5" customHeight="1" x14ac:dyDescent="0.3">
      <c r="B23" s="3" t="s">
        <v>3</v>
      </c>
      <c r="C23" s="3" t="s">
        <v>2</v>
      </c>
      <c r="D23" s="4">
        <v>7500000</v>
      </c>
      <c r="E23" s="3" t="s">
        <v>1</v>
      </c>
      <c r="F23" s="3" t="s">
        <v>0</v>
      </c>
      <c r="G23" s="3">
        <v>1</v>
      </c>
      <c r="H23" s="3">
        <v>1</v>
      </c>
      <c r="I23" s="2">
        <v>45810</v>
      </c>
      <c r="J23" s="2">
        <v>45813</v>
      </c>
    </row>
  </sheetData>
  <mergeCells count="4">
    <mergeCell ref="E3:E4"/>
    <mergeCell ref="E5:E8"/>
    <mergeCell ref="E9:E12"/>
    <mergeCell ref="E13:E14"/>
  </mergeCells>
  <dataValidations count="1">
    <dataValidation type="list" allowBlank="1" showErrorMessage="1" sqref="F20:F23" xr:uid="{D35E8DF3-E846-4C62-94C1-356DFEED8BD8}">
      <formula1>"Kantor,Luar"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asus.s.ayn.5932@outlook.com</dc:creator>
  <cp:lastModifiedBy>asus.s.ayn.5932@outlook.com</cp:lastModifiedBy>
  <dcterms:created xsi:type="dcterms:W3CDTF">2026-08-04T05:53:45Z</dcterms:created>
  <dcterms:modified xsi:type="dcterms:W3CDTF">2026-08-04T05:57:34Z</dcterms:modified>
</cp:coreProperties>
</file>